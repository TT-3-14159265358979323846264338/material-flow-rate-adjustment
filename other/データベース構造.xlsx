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ke8\OneDrive\ドキュメント\java\material-flow-rate-adjustment\other\"/>
    </mc:Choice>
  </mc:AlternateContent>
  <xr:revisionPtr revIDLastSave="0" documentId="13_ncr:1_{DA6F5766-D829-469B-9CF8-A88411CC7F4E}" xr6:coauthVersionLast="47" xr6:coauthVersionMax="47" xr10:uidLastSave="{00000000-0000-0000-0000-000000000000}"/>
  <bookViews>
    <workbookView xWindow="-108" yWindow="-108" windowWidth="23256" windowHeight="12456" xr2:uid="{099D4C76-A145-49FD-90AD-E407201FC4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1" l="1"/>
  <c r="J14" i="1" s="1"/>
  <c r="J15" i="1" s="1"/>
</calcChain>
</file>

<file path=xl/sharedStrings.xml><?xml version="1.0" encoding="utf-8"?>
<sst xmlns="http://schemas.openxmlformats.org/spreadsheetml/2006/main" count="189" uniqueCount="83">
  <si>
    <t>id
(INT,
AUTO_INCREMENT,
NOT NULL,
PRIMARY KEY)</t>
    <phoneticPr fontId="1"/>
  </si>
  <si>
    <t>製品A</t>
    <rPh sb="0" eb="2">
      <t>セイヒン</t>
    </rPh>
    <phoneticPr fontId="1"/>
  </si>
  <si>
    <t>製品B</t>
    <rPh sb="0" eb="2">
      <t>セイヒン</t>
    </rPh>
    <phoneticPr fontId="1"/>
  </si>
  <si>
    <t>製品C</t>
    <rPh sb="0" eb="2">
      <t>セイヒン</t>
    </rPh>
    <phoneticPr fontId="1"/>
  </si>
  <si>
    <t>material</t>
    <phoneticPr fontId="1"/>
  </si>
  <si>
    <t>year
(INT,
UNSIGNED,
NOT NULL)</t>
    <phoneticPr fontId="1"/>
  </si>
  <si>
    <t>month
(INT,
UNSIGNED,
NOT NULL)</t>
    <phoneticPr fontId="1"/>
  </si>
  <si>
    <t>flow
(INT,
UNSIGNED,
NOT NULL)</t>
    <phoneticPr fontId="1"/>
  </si>
  <si>
    <t>achievement</t>
    <phoneticPr fontId="1"/>
  </si>
  <si>
    <t>…</t>
    <phoneticPr fontId="1"/>
  </si>
  <si>
    <t>date
(DATETIME,
DEFAULT, CURRENT_TIMESTAMP)</t>
    <phoneticPr fontId="1"/>
  </si>
  <si>
    <t>lot
(VARCHAR(30)
NOT NULL,)</t>
    <phoneticPr fontId="1"/>
  </si>
  <si>
    <t>作業者A</t>
    <rPh sb="0" eb="3">
      <t>サギョウシャ</t>
    </rPh>
    <phoneticPr fontId="1"/>
  </si>
  <si>
    <t>作業者B</t>
    <rPh sb="0" eb="3">
      <t>サギョウシャ</t>
    </rPh>
    <phoneticPr fontId="1"/>
  </si>
  <si>
    <t>material_id
(INT,
UNSIGNED,
NOT NULL)</t>
    <phoneticPr fontId="1"/>
  </si>
  <si>
    <t>CONSTRAINT material_key
        FOREIGN KEY (material_id) 
        REFERENCES material(id)
        ON DELETE CASCADE</t>
    <phoneticPr fontId="1"/>
  </si>
  <si>
    <t>pass
(BOOLEAN,
NOT NULL)</t>
    <phoneticPr fontId="1"/>
  </si>
  <si>
    <t>adjustment</t>
    <phoneticPr fontId="1"/>
  </si>
  <si>
    <t>管理者A</t>
    <rPh sb="0" eb="3">
      <t>カンリシャ</t>
    </rPh>
    <phoneticPr fontId="1"/>
  </si>
  <si>
    <t>管理者B</t>
    <phoneticPr fontId="1"/>
  </si>
  <si>
    <t>管理者A</t>
    <phoneticPr fontId="1"/>
  </si>
  <si>
    <t>理由を書く</t>
    <rPh sb="0" eb="2">
      <t>リユウ</t>
    </rPh>
    <rPh sb="3" eb="4">
      <t>カ</t>
    </rPh>
    <phoneticPr fontId="1"/>
  </si>
  <si>
    <t>adjustment_id
(INT,
UNSIGNED,
NOT NULL)</t>
    <phoneticPr fontId="1"/>
  </si>
  <si>
    <t>reason
(VARCHAR(50)
NOT NULL,)</t>
    <phoneticPr fontId="1"/>
  </si>
  <si>
    <t>quantity
(INT,
NOT NULL)</t>
    <phoneticPr fontId="1"/>
  </si>
  <si>
    <t>account</t>
    <phoneticPr fontId="1"/>
  </si>
  <si>
    <t>password
(VARCHAR(255)
NOT NULL,)</t>
    <phoneticPr fontId="1"/>
  </si>
  <si>
    <t>role
(VARCHAR(10)
NOT NULL,)</t>
    <phoneticPr fontId="1"/>
  </si>
  <si>
    <t>ADMIN</t>
    <phoneticPr fontId="1"/>
  </si>
  <si>
    <t>USER</t>
    <phoneticPr fontId="1"/>
  </si>
  <si>
    <t>MANAGER</t>
    <phoneticPr fontId="1"/>
  </si>
  <si>
    <t>●●●●●●</t>
    <phoneticPr fontId="1"/>
  </si>
  <si>
    <t>●●●●</t>
    <phoneticPr fontId="1"/>
  </si>
  <si>
    <t>●●●●●●●</t>
    <phoneticPr fontId="1"/>
  </si>
  <si>
    <t>メインのテーブル</t>
    <phoneticPr fontId="1"/>
  </si>
  <si>
    <t>履歴用のテーブル</t>
    <rPh sb="0" eb="2">
      <t>リレキ</t>
    </rPh>
    <rPh sb="2" eb="3">
      <t>ヨウ</t>
    </rPh>
    <phoneticPr fontId="1"/>
  </si>
  <si>
    <t>CREATE</t>
    <phoneticPr fontId="1"/>
  </si>
  <si>
    <t>CHANGE</t>
    <phoneticPr fontId="1"/>
  </si>
  <si>
    <t>DELETE</t>
    <phoneticPr fontId="1"/>
  </si>
  <si>
    <t>account_history</t>
    <phoneticPr fontId="1"/>
  </si>
  <si>
    <t>date
(DATETIME,
DEFAULT, CURRENT_TIMESTAMP,
INSERTABLE=FALSE)</t>
    <phoneticPr fontId="1"/>
  </si>
  <si>
    <t>old_role
(VARCHAR(10),
UPDATABLE=FALSE)</t>
    <phoneticPr fontId="1"/>
  </si>
  <si>
    <t>new_role
(VARCHAR(10),
UPDATABLE=FALSE)</t>
    <phoneticPr fontId="1"/>
  </si>
  <si>
    <t>action
(VARCHAR(10),
NOT NULL,
UPDATABLE=FALSE)</t>
    <phoneticPr fontId="1"/>
  </si>
  <si>
    <t>action_id
(INT,
UNSIGNED,
NOT NULL,
UPDATABLE=FALSE)</t>
    <phoneticPr fontId="1"/>
  </si>
  <si>
    <t>target_id
(INT,
UNSIGNED,
NOT NULL,
UPDATABLE=FALSE)</t>
    <phoneticPr fontId="1"/>
  </si>
  <si>
    <t>login_user
(VARCHAR(20),
UNIQUE,
NOT NULL,)</t>
    <phoneticPr fontId="1"/>
  </si>
  <si>
    <t>admin_a</t>
    <phoneticPr fontId="1"/>
  </si>
  <si>
    <t>admin_b</t>
    <phoneticPr fontId="1"/>
  </si>
  <si>
    <t>old_login_user
(VARCHAR(20),
UPDATABLE=FALSE)</t>
    <phoneticPr fontId="1"/>
  </si>
  <si>
    <t>new_login_user
(VARCHAR(20),
UPDATABLE=FALSE)</t>
    <phoneticPr fontId="1"/>
  </si>
  <si>
    <t>displayed_user
(VARCHAR(10),
UNIQUE,
NOT NULL,)</t>
    <phoneticPr fontId="1"/>
  </si>
  <si>
    <t>old_displayed_user
(VARCHAR(10),
UPDATABLE=FALSE)</t>
    <phoneticPr fontId="1"/>
  </si>
  <si>
    <t>new_displayed_user
(VARCHAR(10),
UPDATABLE=FALSE)</t>
    <phoneticPr fontId="1"/>
  </si>
  <si>
    <t>user
(VARCHAR(10)
NOT NULL,)</t>
    <phoneticPr fontId="1"/>
  </si>
  <si>
    <t>destination
(VARCHAR(10)
NOT NULL)</t>
    <phoneticPr fontId="1"/>
  </si>
  <si>
    <t>name
(VARCHAR(10)
NOT NULL)</t>
    <phoneticPr fontId="1"/>
  </si>
  <si>
    <t>企業A</t>
    <rPh sb="0" eb="2">
      <t>キギョウ</t>
    </rPh>
    <phoneticPr fontId="1"/>
  </si>
  <si>
    <t>material_history</t>
    <phoneticPr fontId="1"/>
  </si>
  <si>
    <t>new_material_name
(VARCHAR(10),
UPDATABLE=FALSE)</t>
    <phoneticPr fontId="1"/>
  </si>
  <si>
    <t>old_material_name
(VARCHAR(10),
UPDATABLE=FALSE)</t>
    <phoneticPr fontId="1"/>
  </si>
  <si>
    <t>old_material_destination
(VARCHAR(10),
UPDATABLE=FALSE)</t>
    <phoneticPr fontId="1"/>
  </si>
  <si>
    <t>new_material_destination
(VARCHAR(10),
UPDATABLE=FALSE)</t>
    <phoneticPr fontId="1"/>
  </si>
  <si>
    <t>企業B</t>
    <rPh sb="0" eb="2">
      <t>キギョウ</t>
    </rPh>
    <phoneticPr fontId="1"/>
  </si>
  <si>
    <t>action_user
(VARCHAR(10),
NOT NULL,
UPDATABLE=FALSE)</t>
    <phoneticPr fontId="1"/>
  </si>
  <si>
    <t>shipping
(INT,
UNSIGNED)</t>
    <phoneticPr fontId="1"/>
  </si>
  <si>
    <t>remaining
(INT,
UNSIGNED)</t>
    <phoneticPr fontId="1"/>
  </si>
  <si>
    <t>achievement
(INT,
UNSIGNED)</t>
    <phoneticPr fontId="1"/>
  </si>
  <si>
    <t>adjustment
(INT)</t>
    <phoneticPr fontId="1"/>
  </si>
  <si>
    <t>month_plan</t>
    <phoneticPr fontId="1"/>
  </si>
  <si>
    <t>CONSTRAINT month_plan_key
        FOREIGN KEY (month_adjustment_id) 
        REFERENCES month_adjustment(id)
        ON DELETE CASCADE</t>
    <phoneticPr fontId="1"/>
  </si>
  <si>
    <t>base
(INT,
UNSIGNED)</t>
    <phoneticPr fontId="1"/>
  </si>
  <si>
    <t>↓実績入力時のデフォルト数量</t>
    <rPh sb="1" eb="3">
      <t>ジッセキ</t>
    </rPh>
    <rPh sb="3" eb="6">
      <t>ニュウリョクジ</t>
    </rPh>
    <rPh sb="12" eb="14">
      <t>スウリョウ</t>
    </rPh>
    <phoneticPr fontId="1"/>
  </si>
  <si>
    <t>unit
(VARCHAR(10)
NOT NULL)</t>
    <phoneticPr fontId="1"/>
  </si>
  <si>
    <t>m</t>
    <phoneticPr fontId="1"/>
  </si>
  <si>
    <t>kg</t>
    <phoneticPr fontId="1"/>
  </si>
  <si>
    <t>個</t>
    <rPh sb="0" eb="1">
      <t>コ</t>
    </rPh>
    <phoneticPr fontId="1"/>
  </si>
  <si>
    <t>old_base
(INT,
UNSIGNED,
UPDATABLE=FALSE)</t>
    <phoneticPr fontId="1"/>
  </si>
  <si>
    <t>new_base
(INT,
UNSIGNED,
UPDATABLE=FALSE)</t>
    <phoneticPr fontId="1"/>
  </si>
  <si>
    <t>old_unit
(VARCHAR(10),
UPDATABLE=FALSE)</t>
    <phoneticPr fontId="1"/>
  </si>
  <si>
    <t>new_unit
(VARCHAR(10),
UPDATABLE=FALSE)</t>
    <phoneticPr fontId="1"/>
  </si>
  <si>
    <t>アカウントと製品履歴だけは重要なデータであるため、完全な履歴を残す。</t>
    <rPh sb="6" eb="8">
      <t>セイヒン</t>
    </rPh>
    <rPh sb="8" eb="10">
      <t>リレキ</t>
    </rPh>
    <rPh sb="13" eb="15">
      <t>ジュウヨウ</t>
    </rPh>
    <rPh sb="25" eb="27">
      <t>カンゼン</t>
    </rPh>
    <rPh sb="28" eb="30">
      <t>リレキ</t>
    </rPh>
    <rPh sb="31" eb="32">
      <t>ノコ</t>
    </rPh>
    <phoneticPr fontId="1"/>
  </si>
  <si>
    <t>それ以外のテーブルについては要検討</t>
    <rPh sb="2" eb="4">
      <t>イガイ</t>
    </rPh>
    <rPh sb="14" eb="17">
      <t>ヨウケントウ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</si>
</sst>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6"/>
      <color theme="1"/>
      <name val="游ゴシック"/>
      <family val="2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8"/>
      <color theme="1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2" fillId="0" borderId="0" xfId="0" applyFo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4" fillId="0" borderId="0" xfId="0" applyFont="1" applyBorder="1">
      <alignment vertical="center"/>
    </xf>
    <xf numFmtId="0" fontId="0" fillId="0" borderId="0" xfId="0" applyBorder="1" applyAlignment="1">
      <alignment horizontal="center" vertical="center"/>
    </xf>
    <xf numFmtId="0" fontId="3" fillId="2" borderId="2" xfId="0" applyFont="1" applyFill="1" applyBorder="1">
      <alignment vertical="center"/>
    </xf>
    <xf numFmtId="0" fontId="3" fillId="0" borderId="0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693420</xdr:colOff>
      <xdr:row>9</xdr:row>
      <xdr:rowOff>22860</xdr:rowOff>
    </xdr:from>
    <xdr:to>
      <xdr:col>2</xdr:col>
      <xdr:colOff>510540</xdr:colOff>
      <xdr:row>11</xdr:row>
      <xdr:rowOff>0</xdr:rowOff>
    </xdr:to>
    <xdr:cxnSp macro="">
      <xdr:nvCxnSpPr>
        <xdr:cNvPr id="3" name="直線矢印コネクタ 2">
          <a:extLst>
            <a:ext uri="{FF2B5EF4-FFF2-40B4-BE49-F238E27FC236}">
              <a16:creationId xmlns:a16="http://schemas.microsoft.com/office/drawing/2014/main" id="{7DE7BCED-881B-4E4B-A12E-2F4F9D08924B}"/>
            </a:ext>
          </a:extLst>
        </xdr:cNvPr>
        <xdr:cNvCxnSpPr/>
      </xdr:nvCxnSpPr>
      <xdr:spPr>
        <a:xfrm>
          <a:off x="1363980" y="253746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769620</xdr:colOff>
      <xdr:row>16</xdr:row>
      <xdr:rowOff>7620</xdr:rowOff>
    </xdr:from>
    <xdr:to>
      <xdr:col>2</xdr:col>
      <xdr:colOff>586740</xdr:colOff>
      <xdr:row>17</xdr:row>
      <xdr:rowOff>213360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E7A2B899-ED44-4629-93E1-A56C6E2B98E0}"/>
            </a:ext>
          </a:extLst>
        </xdr:cNvPr>
        <xdr:cNvCxnSpPr/>
      </xdr:nvCxnSpPr>
      <xdr:spPr>
        <a:xfrm>
          <a:off x="1440180" y="503682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746760</xdr:colOff>
      <xdr:row>15</xdr:row>
      <xdr:rowOff>213360</xdr:rowOff>
    </xdr:from>
    <xdr:to>
      <xdr:col>2</xdr:col>
      <xdr:colOff>609600</xdr:colOff>
      <xdr:row>25</xdr:row>
      <xdr:rowOff>7620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3896E6AC-6605-45F5-BC6D-707DC1D7379C}"/>
            </a:ext>
          </a:extLst>
        </xdr:cNvPr>
        <xdr:cNvCxnSpPr/>
      </xdr:nvCxnSpPr>
      <xdr:spPr>
        <a:xfrm>
          <a:off x="1417320" y="5013960"/>
          <a:ext cx="1196340" cy="29946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5CC99-BAB4-4269-ACB1-CBFC0A25D5CA}">
  <dimension ref="B1:O57"/>
  <sheetViews>
    <sheetView tabSelected="1" workbookViewId="0">
      <selection activeCell="A6" sqref="A6"/>
    </sheetView>
  </sheetViews>
  <sheetFormatPr defaultRowHeight="18" x14ac:dyDescent="0.45"/>
  <cols>
    <col min="1" max="1" width="17.09765625" customWidth="1"/>
    <col min="2" max="2" width="17.5" customWidth="1"/>
    <col min="3" max="3" width="19" customWidth="1"/>
    <col min="4" max="4" width="21.8984375" customWidth="1"/>
    <col min="5" max="5" width="20" customWidth="1"/>
    <col min="6" max="6" width="21.3984375" customWidth="1"/>
    <col min="7" max="7" width="22.5" customWidth="1"/>
    <col min="8" max="8" width="20.09765625" customWidth="1"/>
    <col min="9" max="9" width="20" customWidth="1"/>
    <col min="10" max="10" width="22.09765625" customWidth="1"/>
    <col min="11" max="11" width="37.296875" customWidth="1"/>
    <col min="12" max="12" width="20" customWidth="1"/>
    <col min="13" max="13" width="22.09765625" customWidth="1"/>
    <col min="14" max="14" width="19.3984375" customWidth="1"/>
    <col min="15" max="15" width="22.5" customWidth="1"/>
  </cols>
  <sheetData>
    <row r="1" spans="2:11" ht="18.600000000000001" thickBot="1" x14ac:dyDescent="0.5"/>
    <row r="2" spans="2:11" ht="18.600000000000001" thickBot="1" x14ac:dyDescent="0.5">
      <c r="B2" s="13" t="s">
        <v>34</v>
      </c>
    </row>
    <row r="3" spans="2:11" x14ac:dyDescent="0.45">
      <c r="B3" s="14"/>
    </row>
    <row r="4" spans="2:11" x14ac:dyDescent="0.45">
      <c r="B4" t="s">
        <v>4</v>
      </c>
      <c r="E4" s="10" t="s">
        <v>72</v>
      </c>
    </row>
    <row r="5" spans="2:11" ht="90" x14ac:dyDescent="0.45">
      <c r="B5" s="1" t="s">
        <v>0</v>
      </c>
      <c r="C5" s="1" t="s">
        <v>56</v>
      </c>
      <c r="D5" s="1" t="s">
        <v>55</v>
      </c>
      <c r="E5" s="1" t="s">
        <v>71</v>
      </c>
      <c r="F5" s="1" t="s">
        <v>73</v>
      </c>
    </row>
    <row r="6" spans="2:11" x14ac:dyDescent="0.45">
      <c r="B6" s="3">
        <v>1</v>
      </c>
      <c r="C6" s="3" t="s">
        <v>1</v>
      </c>
      <c r="D6" s="3" t="s">
        <v>57</v>
      </c>
      <c r="E6" s="3">
        <v>1000</v>
      </c>
      <c r="F6" s="3" t="s">
        <v>74</v>
      </c>
    </row>
    <row r="7" spans="2:11" x14ac:dyDescent="0.45">
      <c r="B7" s="3">
        <v>2</v>
      </c>
      <c r="C7" s="3" t="s">
        <v>2</v>
      </c>
      <c r="D7" s="3" t="s">
        <v>57</v>
      </c>
      <c r="E7" s="3"/>
      <c r="F7" s="3" t="s">
        <v>75</v>
      </c>
    </row>
    <row r="8" spans="2:11" x14ac:dyDescent="0.45">
      <c r="B8" s="3">
        <v>3</v>
      </c>
      <c r="C8" s="3" t="s">
        <v>3</v>
      </c>
      <c r="D8" s="3" t="s">
        <v>57</v>
      </c>
      <c r="E8" s="3"/>
      <c r="F8" s="3" t="s">
        <v>76</v>
      </c>
    </row>
    <row r="9" spans="2:11" x14ac:dyDescent="0.45">
      <c r="B9" s="3" t="s">
        <v>9</v>
      </c>
      <c r="C9" s="3" t="s">
        <v>9</v>
      </c>
      <c r="D9" s="3" t="s">
        <v>9</v>
      </c>
      <c r="E9" s="3" t="s">
        <v>9</v>
      </c>
      <c r="F9" s="3" t="s">
        <v>9</v>
      </c>
    </row>
    <row r="10" spans="2:11" x14ac:dyDescent="0.45">
      <c r="G10" s="7"/>
      <c r="I10" s="7"/>
    </row>
    <row r="11" spans="2:11" x14ac:dyDescent="0.45">
      <c r="B11" t="s">
        <v>69</v>
      </c>
      <c r="G11" s="7"/>
      <c r="I11" s="7"/>
    </row>
    <row r="12" spans="2:11" ht="90" x14ac:dyDescent="0.45">
      <c r="B12" s="1" t="s">
        <v>0</v>
      </c>
      <c r="C12" s="1" t="s">
        <v>14</v>
      </c>
      <c r="D12" s="1" t="s">
        <v>5</v>
      </c>
      <c r="E12" s="1" t="s">
        <v>6</v>
      </c>
      <c r="F12" s="1" t="s">
        <v>7</v>
      </c>
      <c r="G12" s="8" t="s">
        <v>67</v>
      </c>
      <c r="H12" s="1" t="s">
        <v>65</v>
      </c>
      <c r="I12" s="8" t="s">
        <v>68</v>
      </c>
      <c r="J12" s="1" t="s">
        <v>66</v>
      </c>
      <c r="K12" s="5" t="s">
        <v>15</v>
      </c>
    </row>
    <row r="13" spans="2:11" x14ac:dyDescent="0.45">
      <c r="B13" s="3">
        <v>1</v>
      </c>
      <c r="C13" s="3">
        <v>1</v>
      </c>
      <c r="D13" s="3">
        <v>2020</v>
      </c>
      <c r="E13" s="3">
        <v>11</v>
      </c>
      <c r="F13" s="3">
        <v>1000</v>
      </c>
      <c r="G13" s="9">
        <v>950</v>
      </c>
      <c r="H13" s="3">
        <v>900</v>
      </c>
      <c r="I13" s="9">
        <v>0</v>
      </c>
      <c r="J13" s="3">
        <f>(0+G13+I13)-H13</f>
        <v>50</v>
      </c>
    </row>
    <row r="14" spans="2:11" x14ac:dyDescent="0.45">
      <c r="B14" s="3">
        <v>2</v>
      </c>
      <c r="C14" s="3">
        <v>1</v>
      </c>
      <c r="D14" s="3">
        <v>2020</v>
      </c>
      <c r="E14" s="3">
        <v>12</v>
      </c>
      <c r="F14" s="3">
        <v>1500</v>
      </c>
      <c r="G14" s="9">
        <v>1550</v>
      </c>
      <c r="H14" s="3">
        <v>1500</v>
      </c>
      <c r="I14" s="9">
        <v>0</v>
      </c>
      <c r="J14" s="3">
        <f>(J13+G14+I14)-H14</f>
        <v>100</v>
      </c>
    </row>
    <row r="15" spans="2:11" x14ac:dyDescent="0.45">
      <c r="B15" s="3">
        <v>3</v>
      </c>
      <c r="C15" s="3">
        <v>1</v>
      </c>
      <c r="D15" s="3">
        <v>2021</v>
      </c>
      <c r="E15" s="3">
        <v>1</v>
      </c>
      <c r="F15" s="3">
        <v>1000</v>
      </c>
      <c r="G15" s="9">
        <v>1000</v>
      </c>
      <c r="H15" s="3">
        <v>1050</v>
      </c>
      <c r="I15" s="9">
        <v>0</v>
      </c>
      <c r="J15" s="3">
        <f>(J14+G15+I15)-H15</f>
        <v>50</v>
      </c>
    </row>
    <row r="16" spans="2:11" x14ac:dyDescent="0.45">
      <c r="B16" s="3" t="s">
        <v>9</v>
      </c>
      <c r="C16" s="3" t="s">
        <v>9</v>
      </c>
      <c r="D16" s="3" t="s">
        <v>9</v>
      </c>
      <c r="E16" s="3" t="s">
        <v>9</v>
      </c>
      <c r="F16" s="3" t="s">
        <v>9</v>
      </c>
      <c r="G16" s="9" t="s">
        <v>9</v>
      </c>
      <c r="H16" s="3" t="s">
        <v>9</v>
      </c>
      <c r="I16" s="9" t="s">
        <v>9</v>
      </c>
      <c r="J16" s="3" t="s">
        <v>9</v>
      </c>
    </row>
    <row r="18" spans="2:11" x14ac:dyDescent="0.45">
      <c r="B18" t="s">
        <v>8</v>
      </c>
    </row>
    <row r="19" spans="2:11" ht="90" x14ac:dyDescent="0.45">
      <c r="B19" s="1" t="s">
        <v>0</v>
      </c>
      <c r="C19" s="1" t="s">
        <v>22</v>
      </c>
      <c r="D19" s="1" t="s">
        <v>10</v>
      </c>
      <c r="E19" s="1" t="s">
        <v>11</v>
      </c>
      <c r="F19" s="1" t="s">
        <v>7</v>
      </c>
      <c r="G19" s="1" t="s">
        <v>54</v>
      </c>
      <c r="H19" s="6" t="s">
        <v>16</v>
      </c>
      <c r="K19" s="5" t="s">
        <v>70</v>
      </c>
    </row>
    <row r="20" spans="2:11" x14ac:dyDescent="0.45">
      <c r="B20" s="3">
        <v>1</v>
      </c>
      <c r="C20" s="3">
        <v>1</v>
      </c>
      <c r="D20" s="4">
        <v>44136.424305555556</v>
      </c>
      <c r="E20" s="2">
        <v>1111</v>
      </c>
      <c r="F20" s="2">
        <v>50</v>
      </c>
      <c r="G20" s="2" t="s">
        <v>12</v>
      </c>
      <c r="H20" s="3">
        <v>1</v>
      </c>
    </row>
    <row r="21" spans="2:11" x14ac:dyDescent="0.45">
      <c r="B21" s="3">
        <v>2</v>
      </c>
      <c r="C21" s="3">
        <v>1</v>
      </c>
      <c r="D21" s="4">
        <v>44136.690972222219</v>
      </c>
      <c r="E21" s="2">
        <v>1112</v>
      </c>
      <c r="F21" s="2">
        <v>50</v>
      </c>
      <c r="G21" s="2" t="s">
        <v>13</v>
      </c>
      <c r="H21" s="3">
        <v>0</v>
      </c>
    </row>
    <row r="22" spans="2:11" x14ac:dyDescent="0.45">
      <c r="B22" s="3">
        <v>3</v>
      </c>
      <c r="C22" s="3">
        <v>1</v>
      </c>
      <c r="D22" s="4">
        <v>44137.420138888891</v>
      </c>
      <c r="E22" s="2">
        <v>1115</v>
      </c>
      <c r="F22" s="2">
        <v>50</v>
      </c>
      <c r="G22" s="2" t="s">
        <v>12</v>
      </c>
      <c r="H22" s="3">
        <v>1</v>
      </c>
    </row>
    <row r="23" spans="2:11" x14ac:dyDescent="0.45">
      <c r="B23" s="3" t="s">
        <v>9</v>
      </c>
      <c r="C23" s="3" t="s">
        <v>9</v>
      </c>
      <c r="D23" s="3" t="s">
        <v>9</v>
      </c>
      <c r="E23" s="3" t="s">
        <v>9</v>
      </c>
      <c r="F23" s="3" t="s">
        <v>9</v>
      </c>
      <c r="G23" s="3" t="s">
        <v>9</v>
      </c>
      <c r="H23" s="3"/>
    </row>
    <row r="25" spans="2:11" x14ac:dyDescent="0.45">
      <c r="B25" t="s">
        <v>17</v>
      </c>
    </row>
    <row r="26" spans="2:11" ht="90" x14ac:dyDescent="0.45">
      <c r="B26" s="1" t="s">
        <v>0</v>
      </c>
      <c r="C26" s="1" t="s">
        <v>22</v>
      </c>
      <c r="D26" s="1" t="s">
        <v>40</v>
      </c>
      <c r="E26" s="1" t="s">
        <v>24</v>
      </c>
      <c r="F26" s="1" t="s">
        <v>54</v>
      </c>
      <c r="G26" s="6" t="s">
        <v>23</v>
      </c>
      <c r="K26" s="5" t="s">
        <v>70</v>
      </c>
    </row>
    <row r="27" spans="2:11" x14ac:dyDescent="0.45">
      <c r="B27" s="3">
        <v>1</v>
      </c>
      <c r="C27" s="3">
        <v>1</v>
      </c>
      <c r="D27" s="4">
        <v>44136.424305555556</v>
      </c>
      <c r="E27" s="2">
        <v>10</v>
      </c>
      <c r="F27" s="2" t="s">
        <v>18</v>
      </c>
      <c r="G27" s="3" t="s">
        <v>21</v>
      </c>
    </row>
    <row r="28" spans="2:11" x14ac:dyDescent="0.45">
      <c r="B28" s="3">
        <v>2</v>
      </c>
      <c r="C28" s="3">
        <v>1</v>
      </c>
      <c r="D28" s="4">
        <v>44136.690972222219</v>
      </c>
      <c r="E28" s="2">
        <v>-5</v>
      </c>
      <c r="F28" s="2" t="s">
        <v>19</v>
      </c>
      <c r="G28" s="3" t="s">
        <v>21</v>
      </c>
    </row>
    <row r="29" spans="2:11" x14ac:dyDescent="0.45">
      <c r="B29" s="3">
        <v>3</v>
      </c>
      <c r="C29" s="3">
        <v>1</v>
      </c>
      <c r="D29" s="4">
        <v>44137.420138888891</v>
      </c>
      <c r="E29" s="2">
        <v>-5</v>
      </c>
      <c r="F29" s="2" t="s">
        <v>20</v>
      </c>
      <c r="G29" s="3" t="s">
        <v>21</v>
      </c>
    </row>
    <row r="30" spans="2:11" x14ac:dyDescent="0.45">
      <c r="B30" s="3" t="s">
        <v>9</v>
      </c>
      <c r="C30" s="3" t="s">
        <v>9</v>
      </c>
      <c r="D30" s="3" t="s">
        <v>9</v>
      </c>
      <c r="E30" s="3" t="s">
        <v>9</v>
      </c>
      <c r="F30" s="3" t="s">
        <v>9</v>
      </c>
      <c r="G30" s="3"/>
    </row>
    <row r="32" spans="2:11" x14ac:dyDescent="0.45">
      <c r="B32" t="s">
        <v>25</v>
      </c>
    </row>
    <row r="33" spans="2:13" ht="90" x14ac:dyDescent="0.45">
      <c r="B33" s="1" t="s">
        <v>0</v>
      </c>
      <c r="C33" s="1" t="s">
        <v>46</v>
      </c>
      <c r="D33" s="1" t="s">
        <v>51</v>
      </c>
      <c r="E33" s="1" t="s">
        <v>26</v>
      </c>
      <c r="F33" s="1" t="s">
        <v>27</v>
      </c>
    </row>
    <row r="34" spans="2:13" x14ac:dyDescent="0.45">
      <c r="B34" s="3">
        <v>1</v>
      </c>
      <c r="C34" s="2" t="s">
        <v>47</v>
      </c>
      <c r="D34" s="2" t="s">
        <v>18</v>
      </c>
      <c r="E34" s="2" t="s">
        <v>31</v>
      </c>
      <c r="F34" s="2" t="s">
        <v>28</v>
      </c>
    </row>
    <row r="35" spans="2:13" x14ac:dyDescent="0.45">
      <c r="B35" s="3">
        <v>2</v>
      </c>
      <c r="C35" s="2" t="s">
        <v>48</v>
      </c>
      <c r="D35" s="2" t="s">
        <v>19</v>
      </c>
      <c r="E35" s="2" t="s">
        <v>32</v>
      </c>
      <c r="F35" s="2" t="s">
        <v>29</v>
      </c>
    </row>
    <row r="36" spans="2:13" x14ac:dyDescent="0.45">
      <c r="B36" s="3">
        <v>3</v>
      </c>
      <c r="C36" s="2" t="s">
        <v>47</v>
      </c>
      <c r="D36" s="2" t="s">
        <v>20</v>
      </c>
      <c r="E36" s="2" t="s">
        <v>33</v>
      </c>
      <c r="F36" s="2" t="s">
        <v>30</v>
      </c>
    </row>
    <row r="37" spans="2:13" x14ac:dyDescent="0.45">
      <c r="B37" s="3" t="s">
        <v>9</v>
      </c>
      <c r="C37" s="3" t="s">
        <v>9</v>
      </c>
      <c r="D37" s="3" t="s">
        <v>9</v>
      </c>
      <c r="E37" s="3" t="s">
        <v>9</v>
      </c>
      <c r="F37" s="3" t="s">
        <v>9</v>
      </c>
    </row>
    <row r="38" spans="2:13" x14ac:dyDescent="0.45">
      <c r="B38" s="12"/>
      <c r="C38" s="12"/>
      <c r="D38" s="12"/>
      <c r="E38" s="12"/>
      <c r="F38" s="12"/>
    </row>
    <row r="39" spans="2:13" x14ac:dyDescent="0.45">
      <c r="B39" s="12"/>
      <c r="C39" s="12"/>
      <c r="D39" s="12"/>
      <c r="E39" s="12"/>
      <c r="F39" s="12"/>
    </row>
    <row r="40" spans="2:13" ht="18.600000000000001" thickBot="1" x14ac:dyDescent="0.5"/>
    <row r="41" spans="2:13" ht="18.600000000000001" thickBot="1" x14ac:dyDescent="0.5">
      <c r="B41" s="13" t="s">
        <v>35</v>
      </c>
    </row>
    <row r="42" spans="2:13" x14ac:dyDescent="0.45">
      <c r="B42" s="11" t="s">
        <v>81</v>
      </c>
    </row>
    <row r="43" spans="2:13" x14ac:dyDescent="0.45">
      <c r="B43" s="11" t="s">
        <v>82</v>
      </c>
    </row>
    <row r="44" spans="2:13" x14ac:dyDescent="0.45">
      <c r="B44" s="11"/>
    </row>
    <row r="45" spans="2:13" x14ac:dyDescent="0.45">
      <c r="B45" t="s">
        <v>39</v>
      </c>
    </row>
    <row r="46" spans="2:13" ht="90" x14ac:dyDescent="0.45">
      <c r="B46" s="1" t="s">
        <v>0</v>
      </c>
      <c r="C46" s="1" t="s">
        <v>45</v>
      </c>
      <c r="D46" s="1" t="s">
        <v>49</v>
      </c>
      <c r="E46" s="1" t="s">
        <v>50</v>
      </c>
      <c r="F46" s="1" t="s">
        <v>52</v>
      </c>
      <c r="G46" s="1" t="s">
        <v>53</v>
      </c>
      <c r="H46" s="1" t="s">
        <v>41</v>
      </c>
      <c r="I46" s="1" t="s">
        <v>42</v>
      </c>
      <c r="J46" s="1" t="s">
        <v>43</v>
      </c>
      <c r="K46" s="1" t="s">
        <v>44</v>
      </c>
      <c r="L46" s="1" t="s">
        <v>64</v>
      </c>
      <c r="M46" s="1" t="s">
        <v>40</v>
      </c>
    </row>
    <row r="47" spans="2:13" x14ac:dyDescent="0.45">
      <c r="B47" s="3">
        <v>1</v>
      </c>
      <c r="C47" s="2">
        <v>1</v>
      </c>
      <c r="D47" s="2"/>
      <c r="E47" s="2" t="s">
        <v>47</v>
      </c>
      <c r="F47" s="2"/>
      <c r="G47" s="2" t="s">
        <v>20</v>
      </c>
      <c r="H47" s="2"/>
      <c r="I47" s="2" t="s">
        <v>29</v>
      </c>
      <c r="J47" s="2" t="s">
        <v>36</v>
      </c>
      <c r="K47" s="2">
        <v>1</v>
      </c>
      <c r="L47" s="2" t="s">
        <v>18</v>
      </c>
      <c r="M47" s="4">
        <v>44136.424305555556</v>
      </c>
    </row>
    <row r="48" spans="2:13" x14ac:dyDescent="0.45">
      <c r="B48" s="3">
        <v>2</v>
      </c>
      <c r="C48" s="2">
        <v>1</v>
      </c>
      <c r="D48" s="2"/>
      <c r="E48" s="2"/>
      <c r="F48" s="2"/>
      <c r="G48" s="2"/>
      <c r="H48" s="2" t="s">
        <v>29</v>
      </c>
      <c r="I48" s="2" t="s">
        <v>30</v>
      </c>
      <c r="J48" s="2" t="s">
        <v>37</v>
      </c>
      <c r="K48" s="2">
        <v>1</v>
      </c>
      <c r="L48" s="2" t="s">
        <v>18</v>
      </c>
      <c r="M48" s="4">
        <v>44136.690972222219</v>
      </c>
    </row>
    <row r="49" spans="2:15" x14ac:dyDescent="0.45">
      <c r="B49" s="3">
        <v>3</v>
      </c>
      <c r="C49" s="2">
        <v>1</v>
      </c>
      <c r="D49" s="2" t="s">
        <v>47</v>
      </c>
      <c r="E49" s="2"/>
      <c r="F49" s="2" t="s">
        <v>20</v>
      </c>
      <c r="G49" s="2"/>
      <c r="H49" s="2" t="s">
        <v>30</v>
      </c>
      <c r="I49" s="2"/>
      <c r="J49" s="2" t="s">
        <v>38</v>
      </c>
      <c r="K49" s="2">
        <v>2</v>
      </c>
      <c r="L49" s="2" t="s">
        <v>19</v>
      </c>
      <c r="M49" s="4">
        <v>44137.420138888891</v>
      </c>
    </row>
    <row r="50" spans="2:15" x14ac:dyDescent="0.45">
      <c r="B50" s="3" t="s">
        <v>9</v>
      </c>
      <c r="C50" s="3" t="s">
        <v>9</v>
      </c>
      <c r="D50" s="3" t="s">
        <v>9</v>
      </c>
      <c r="E50" s="3" t="s">
        <v>9</v>
      </c>
      <c r="F50" s="3" t="s">
        <v>9</v>
      </c>
      <c r="G50" s="3" t="s">
        <v>9</v>
      </c>
      <c r="H50" s="3" t="s">
        <v>9</v>
      </c>
      <c r="I50" s="3" t="s">
        <v>9</v>
      </c>
      <c r="J50" s="3" t="s">
        <v>9</v>
      </c>
      <c r="K50" s="3" t="s">
        <v>9</v>
      </c>
      <c r="L50" s="3" t="s">
        <v>9</v>
      </c>
      <c r="M50" s="3" t="s">
        <v>9</v>
      </c>
    </row>
    <row r="52" spans="2:15" x14ac:dyDescent="0.45">
      <c r="B52" t="s">
        <v>58</v>
      </c>
    </row>
    <row r="53" spans="2:15" ht="90" x14ac:dyDescent="0.45">
      <c r="B53" s="1" t="s">
        <v>0</v>
      </c>
      <c r="C53" s="1" t="s">
        <v>45</v>
      </c>
      <c r="D53" s="1" t="s">
        <v>60</v>
      </c>
      <c r="E53" s="1" t="s">
        <v>59</v>
      </c>
      <c r="F53" s="1" t="s">
        <v>61</v>
      </c>
      <c r="G53" s="1" t="s">
        <v>62</v>
      </c>
      <c r="H53" s="1" t="s">
        <v>77</v>
      </c>
      <c r="I53" s="1" t="s">
        <v>78</v>
      </c>
      <c r="J53" s="1" t="s">
        <v>79</v>
      </c>
      <c r="K53" s="1" t="s">
        <v>80</v>
      </c>
      <c r="L53" s="1" t="s">
        <v>43</v>
      </c>
      <c r="M53" s="1" t="s">
        <v>44</v>
      </c>
      <c r="N53" s="1" t="s">
        <v>64</v>
      </c>
      <c r="O53" s="1" t="s">
        <v>40</v>
      </c>
    </row>
    <row r="54" spans="2:15" x14ac:dyDescent="0.45">
      <c r="B54" s="3">
        <v>1</v>
      </c>
      <c r="C54" s="2">
        <v>1</v>
      </c>
      <c r="D54" s="2"/>
      <c r="E54" s="2" t="s">
        <v>1</v>
      </c>
      <c r="F54" s="2"/>
      <c r="G54" s="2" t="s">
        <v>57</v>
      </c>
      <c r="H54" s="2"/>
      <c r="I54" s="2"/>
      <c r="J54" s="2"/>
      <c r="K54" s="2" t="s">
        <v>75</v>
      </c>
      <c r="L54" s="2" t="s">
        <v>36</v>
      </c>
      <c r="M54" s="2">
        <v>1</v>
      </c>
      <c r="N54" s="2" t="s">
        <v>18</v>
      </c>
      <c r="O54" s="4">
        <v>44136.424305555556</v>
      </c>
    </row>
    <row r="55" spans="2:15" x14ac:dyDescent="0.45">
      <c r="B55" s="3">
        <v>2</v>
      </c>
      <c r="C55" s="2">
        <v>1</v>
      </c>
      <c r="D55" s="2"/>
      <c r="E55" s="2"/>
      <c r="F55" s="2" t="s">
        <v>57</v>
      </c>
      <c r="G55" s="2" t="s">
        <v>63</v>
      </c>
      <c r="H55" s="2"/>
      <c r="I55" s="2"/>
      <c r="J55" s="2" t="s">
        <v>75</v>
      </c>
      <c r="K55" s="2" t="s">
        <v>74</v>
      </c>
      <c r="L55" s="2" t="s">
        <v>37</v>
      </c>
      <c r="M55" s="2">
        <v>1</v>
      </c>
      <c r="N55" s="2" t="s">
        <v>18</v>
      </c>
      <c r="O55" s="4">
        <v>44136.690972222219</v>
      </c>
    </row>
    <row r="56" spans="2:15" x14ac:dyDescent="0.45">
      <c r="B56" s="3">
        <v>3</v>
      </c>
      <c r="C56" s="2">
        <v>1</v>
      </c>
      <c r="D56" s="2" t="s">
        <v>1</v>
      </c>
      <c r="E56" s="2"/>
      <c r="F56" s="2" t="s">
        <v>63</v>
      </c>
      <c r="G56" s="2"/>
      <c r="H56" s="2"/>
      <c r="I56" s="2"/>
      <c r="J56" s="2" t="s">
        <v>74</v>
      </c>
      <c r="K56" s="2"/>
      <c r="L56" s="2" t="s">
        <v>38</v>
      </c>
      <c r="M56" s="2">
        <v>2</v>
      </c>
      <c r="N56" s="2" t="s">
        <v>19</v>
      </c>
      <c r="O56" s="4">
        <v>44137.420138888891</v>
      </c>
    </row>
    <row r="57" spans="2:15" x14ac:dyDescent="0.45">
      <c r="B57" s="3" t="s">
        <v>9</v>
      </c>
      <c r="C57" s="3" t="s">
        <v>9</v>
      </c>
      <c r="D57" s="3" t="s">
        <v>9</v>
      </c>
      <c r="E57" s="3" t="s">
        <v>9</v>
      </c>
      <c r="F57" s="3" t="s">
        <v>9</v>
      </c>
      <c r="G57" s="3" t="s">
        <v>9</v>
      </c>
      <c r="H57" s="3" t="s">
        <v>9</v>
      </c>
      <c r="I57" s="3" t="s">
        <v>9</v>
      </c>
      <c r="J57" s="3" t="s">
        <v>9</v>
      </c>
      <c r="K57" s="3" t="s">
        <v>9</v>
      </c>
      <c r="L57" s="3" t="s">
        <v>9</v>
      </c>
      <c r="M57" s="3" t="s">
        <v>9</v>
      </c>
      <c r="N57" s="3" t="s">
        <v>9</v>
      </c>
      <c r="O57" s="3" t="s">
        <v>9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大洋 竹端</dc:creator>
  <cp:lastModifiedBy>大洋 竹端</cp:lastModifiedBy>
  <dcterms:created xsi:type="dcterms:W3CDTF">2026-05-12T05:42:56Z</dcterms:created>
  <dcterms:modified xsi:type="dcterms:W3CDTF">2026-05-29T05:05:28Z</dcterms:modified>
</cp:coreProperties>
</file>