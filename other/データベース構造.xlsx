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e8\OneDrive\ドキュメント\java\material-flow-rate-adjustment\other\"/>
    </mc:Choice>
  </mc:AlternateContent>
  <xr:revisionPtr revIDLastSave="0" documentId="13_ncr:1_{87830E74-8EF1-484F-840D-99E34DAEEA01}" xr6:coauthVersionLast="47" xr6:coauthVersionMax="47" xr10:uidLastSave="{00000000-0000-0000-0000-000000000000}"/>
  <bookViews>
    <workbookView xWindow="-108" yWindow="-108" windowWidth="23256" windowHeight="12456" xr2:uid="{099D4C76-A145-49FD-90AD-E407201FC4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1" l="1"/>
  <c r="J13" i="1" s="1"/>
  <c r="J14" i="1" s="1"/>
</calcChain>
</file>

<file path=xl/sharedStrings.xml><?xml version="1.0" encoding="utf-8"?>
<sst xmlns="http://schemas.openxmlformats.org/spreadsheetml/2006/main" count="120" uniqueCount="59">
  <si>
    <t>id
(INT,
AUTO_INCREMENT,
NOT NULL,
PRIMARY KEY)</t>
    <phoneticPr fontId="1"/>
  </si>
  <si>
    <t>name
(VARCHAR(30)
NOT NULL,)</t>
    <phoneticPr fontId="1"/>
  </si>
  <si>
    <t>製品A</t>
    <rPh sb="0" eb="2">
      <t>セイヒン</t>
    </rPh>
    <phoneticPr fontId="1"/>
  </si>
  <si>
    <t>製品B</t>
    <rPh sb="0" eb="2">
      <t>セイヒン</t>
    </rPh>
    <phoneticPr fontId="1"/>
  </si>
  <si>
    <t>製品C</t>
    <rPh sb="0" eb="2">
      <t>セイヒン</t>
    </rPh>
    <phoneticPr fontId="1"/>
  </si>
  <si>
    <t>material</t>
    <phoneticPr fontId="1"/>
  </si>
  <si>
    <t>month_adjustment</t>
    <phoneticPr fontId="1"/>
  </si>
  <si>
    <t>year
(INT,
UNSIGNED,
NOT NULL)</t>
    <phoneticPr fontId="1"/>
  </si>
  <si>
    <t>month
(INT,
UNSIGNED,
NOT NULL)</t>
    <phoneticPr fontId="1"/>
  </si>
  <si>
    <t>flow
(INT,
UNSIGNED,
NOT NULL)</t>
    <phoneticPr fontId="1"/>
  </si>
  <si>
    <t>achievement</t>
    <phoneticPr fontId="1"/>
  </si>
  <si>
    <t>remaining
(INT,
UNSIGNED,
NOT NULL)</t>
    <phoneticPr fontId="1"/>
  </si>
  <si>
    <t>shipping
(INT,
UNSIGNED,
NOT NULL)</t>
    <phoneticPr fontId="1"/>
  </si>
  <si>
    <t>…</t>
    <phoneticPr fontId="1"/>
  </si>
  <si>
    <t>date
(DATETIME,
DEFAULT, CURRENT_TIMESTAMP)</t>
    <phoneticPr fontId="1"/>
  </si>
  <si>
    <t>lot
(VARCHAR(30)
NOT NULL,)</t>
    <phoneticPr fontId="1"/>
  </si>
  <si>
    <t>作業者A</t>
    <rPh sb="0" eb="3">
      <t>サギョウシャ</t>
    </rPh>
    <phoneticPr fontId="1"/>
  </si>
  <si>
    <t>作業者B</t>
    <rPh sb="0" eb="3">
      <t>サギョウシャ</t>
    </rPh>
    <phoneticPr fontId="1"/>
  </si>
  <si>
    <t>material_id
(INT,
UNSIGNED,
NOT NULL)</t>
    <phoneticPr fontId="1"/>
  </si>
  <si>
    <t>CONSTRAINT material_key
        FOREIGN KEY (material_id) 
        REFERENCES material(id)
        ON DELETE CASCADE</t>
    <phoneticPr fontId="1"/>
  </si>
  <si>
    <t>CONSTRAINT month_adjustment_key
        FOREIGN KEY (month_adjustment_id) 
        REFERENCES month_adjustment(id)
        ON DELETE CASCADE</t>
    <phoneticPr fontId="1"/>
  </si>
  <si>
    <t>pass
(BOOLEAN,
NOT NULL)</t>
    <phoneticPr fontId="1"/>
  </si>
  <si>
    <t>adjustment</t>
    <phoneticPr fontId="1"/>
  </si>
  <si>
    <t>↓別テーブルから算出</t>
    <rPh sb="1" eb="2">
      <t>ベツ</t>
    </rPh>
    <rPh sb="8" eb="10">
      <t>サンシュツ</t>
    </rPh>
    <phoneticPr fontId="1"/>
  </si>
  <si>
    <t>↓テーブルにはない</t>
    <phoneticPr fontId="1"/>
  </si>
  <si>
    <t>管理者A</t>
    <rPh sb="0" eb="3">
      <t>カンリシャ</t>
    </rPh>
    <phoneticPr fontId="1"/>
  </si>
  <si>
    <t>管理者B</t>
    <phoneticPr fontId="1"/>
  </si>
  <si>
    <t>管理者A</t>
    <phoneticPr fontId="1"/>
  </si>
  <si>
    <t>理由を書く</t>
    <rPh sb="0" eb="2">
      <t>リユウ</t>
    </rPh>
    <rPh sb="3" eb="4">
      <t>カ</t>
    </rPh>
    <phoneticPr fontId="1"/>
  </si>
  <si>
    <t>adjustment_id
(INT,
UNSIGNED,
NOT NULL)</t>
    <phoneticPr fontId="1"/>
  </si>
  <si>
    <t>user
(VARCHAR(20)
NOT NULL,)</t>
    <phoneticPr fontId="1"/>
  </si>
  <si>
    <t>reason
(VARCHAR(50)
NOT NULL,)</t>
    <phoneticPr fontId="1"/>
  </si>
  <si>
    <t>quantity
(INT,
NOT NULL)</t>
    <phoneticPr fontId="1"/>
  </si>
  <si>
    <t>account</t>
    <phoneticPr fontId="1"/>
  </si>
  <si>
    <t>user
(VARCHAR(20),
UNIQUE,
NOT NULL,)</t>
    <phoneticPr fontId="1"/>
  </si>
  <si>
    <t>password
(VARCHAR(255)
NOT NULL,)</t>
    <phoneticPr fontId="1"/>
  </si>
  <si>
    <t>role
(VARCHAR(10)
NOT NULL,)</t>
    <phoneticPr fontId="1"/>
  </si>
  <si>
    <t>ADMIN</t>
    <phoneticPr fontId="1"/>
  </si>
  <si>
    <t>USER</t>
    <phoneticPr fontId="1"/>
  </si>
  <si>
    <t>MANAGER</t>
    <phoneticPr fontId="1"/>
  </si>
  <si>
    <t>●●●●●●</t>
    <phoneticPr fontId="1"/>
  </si>
  <si>
    <t>●●●●</t>
    <phoneticPr fontId="1"/>
  </si>
  <si>
    <t>●●●●●●●</t>
    <phoneticPr fontId="1"/>
  </si>
  <si>
    <t>メインのテーブル</t>
    <phoneticPr fontId="1"/>
  </si>
  <si>
    <t>履歴用のテーブル</t>
    <rPh sb="0" eb="2">
      <t>リレキ</t>
    </rPh>
    <rPh sb="2" eb="3">
      <t>ヨウ</t>
    </rPh>
    <phoneticPr fontId="1"/>
  </si>
  <si>
    <t>b</t>
    <phoneticPr fontId="1"/>
  </si>
  <si>
    <t>CREATE</t>
    <phoneticPr fontId="1"/>
  </si>
  <si>
    <t>CHANGE</t>
    <phoneticPr fontId="1"/>
  </si>
  <si>
    <t>DELETE</t>
    <phoneticPr fontId="1"/>
  </si>
  <si>
    <t>account_history</t>
    <phoneticPr fontId="1"/>
  </si>
  <si>
    <t>date
(DATETIME,
DEFAULT, CURRENT_TIMESTAMP,
INSERTABLE=FALSE)</t>
    <phoneticPr fontId="1"/>
  </si>
  <si>
    <t>old_user
(VARCHAR(20),
UPDATABLE=FALSE)</t>
    <phoneticPr fontId="1"/>
  </si>
  <si>
    <t>new_user
(VARCHAR(20),
UPDATABLE=FALSE)</t>
    <phoneticPr fontId="1"/>
  </si>
  <si>
    <t>old_role
(VARCHAR(10),
UPDATABLE=FALSE)</t>
    <phoneticPr fontId="1"/>
  </si>
  <si>
    <t>new_role
(VARCHAR(10),
UPDATABLE=FALSE)</t>
    <phoneticPr fontId="1"/>
  </si>
  <si>
    <t>action
(VARCHAR(10),
NOT NULL,
UPDATABLE=FALSE)</t>
    <phoneticPr fontId="1"/>
  </si>
  <si>
    <t>action_user
(VARCHAR(20),
NOT NULL,
UPDATABLE=FALSE)</t>
    <phoneticPr fontId="1"/>
  </si>
  <si>
    <t>action_id
(INT,
UNSIGNED,
NOT NULL,
UPDATABLE=FALSE)</t>
    <phoneticPr fontId="1"/>
  </si>
  <si>
    <t>target_id
(INT,
UNSIGNED,
NOT NULL,
UPDATABLE=FALSE)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</si>
</sst>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 tint="-0.249977111117893"/>
      <name val="游ゴシック"/>
      <family val="2"/>
      <charset val="128"/>
      <scheme val="minor"/>
    </font>
    <font>
      <sz val="11"/>
      <color theme="0" tint="-0.249977111117893"/>
      <name val="游ゴシック"/>
      <family val="3"/>
      <charset val="128"/>
      <scheme val="minor"/>
    </font>
    <font>
      <sz val="6"/>
      <color theme="1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2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693420</xdr:colOff>
      <xdr:row>8</xdr:row>
      <xdr:rowOff>22860</xdr:rowOff>
    </xdr:from>
    <xdr:to>
      <xdr:col>2</xdr:col>
      <xdr:colOff>510540</xdr:colOff>
      <xdr:row>10</xdr:row>
      <xdr:rowOff>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7DE7BCED-881B-4E4B-A12E-2F4F9D08924B}"/>
            </a:ext>
          </a:extLst>
        </xdr:cNvPr>
        <xdr:cNvCxnSpPr/>
      </xdr:nvCxnSpPr>
      <xdr:spPr>
        <a:xfrm>
          <a:off x="1363980" y="2537460"/>
          <a:ext cx="1150620" cy="434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769620</xdr:colOff>
      <xdr:row>15</xdr:row>
      <xdr:rowOff>7620</xdr:rowOff>
    </xdr:from>
    <xdr:to>
      <xdr:col>2</xdr:col>
      <xdr:colOff>586740</xdr:colOff>
      <xdr:row>16</xdr:row>
      <xdr:rowOff>213360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E7A2B899-ED44-4629-93E1-A56C6E2B98E0}"/>
            </a:ext>
          </a:extLst>
        </xdr:cNvPr>
        <xdr:cNvCxnSpPr/>
      </xdr:nvCxnSpPr>
      <xdr:spPr>
        <a:xfrm>
          <a:off x="1440180" y="5036820"/>
          <a:ext cx="1150620" cy="434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746760</xdr:colOff>
      <xdr:row>14</xdr:row>
      <xdr:rowOff>213360</xdr:rowOff>
    </xdr:from>
    <xdr:to>
      <xdr:col>2</xdr:col>
      <xdr:colOff>609600</xdr:colOff>
      <xdr:row>24</xdr:row>
      <xdr:rowOff>7620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3896E6AC-6605-45F5-BC6D-707DC1D7379C}"/>
            </a:ext>
          </a:extLst>
        </xdr:cNvPr>
        <xdr:cNvCxnSpPr/>
      </xdr:nvCxnSpPr>
      <xdr:spPr>
        <a:xfrm>
          <a:off x="1417320" y="5013960"/>
          <a:ext cx="1196340" cy="2994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5CC99-BAB4-4269-ACB1-CBFC0A25D5CA}">
  <dimension ref="A1:K44"/>
  <sheetViews>
    <sheetView tabSelected="1" topLeftCell="A37" workbookViewId="0">
      <selection activeCell="C40" sqref="C40"/>
    </sheetView>
  </sheetViews>
  <sheetFormatPr defaultRowHeight="18" x14ac:dyDescent="0.45"/>
  <cols>
    <col min="1" max="1" width="17.09765625" customWidth="1"/>
    <col min="2" max="2" width="17.5" customWidth="1"/>
    <col min="3" max="3" width="19" customWidth="1"/>
    <col min="4" max="4" width="21.8984375" customWidth="1"/>
    <col min="5" max="5" width="20" customWidth="1"/>
    <col min="6" max="6" width="19.69921875" customWidth="1"/>
    <col min="7" max="7" width="20.296875" customWidth="1"/>
    <col min="8" max="8" width="20.09765625" customWidth="1"/>
    <col min="9" max="9" width="20" customWidth="1"/>
    <col min="10" max="10" width="22.09765625" customWidth="1"/>
    <col min="11" max="11" width="37.5" customWidth="1"/>
  </cols>
  <sheetData>
    <row r="1" spans="1:11" ht="18.600000000000001" thickBot="1" x14ac:dyDescent="0.5"/>
    <row r="2" spans="1:11" ht="18.600000000000001" thickBot="1" x14ac:dyDescent="0.5">
      <c r="A2" s="10" t="s">
        <v>43</v>
      </c>
    </row>
    <row r="3" spans="1:11" x14ac:dyDescent="0.45">
      <c r="B3" t="s">
        <v>5</v>
      </c>
    </row>
    <row r="4" spans="1:11" ht="90" x14ac:dyDescent="0.45">
      <c r="B4" s="1" t="s">
        <v>0</v>
      </c>
      <c r="C4" s="1" t="s">
        <v>1</v>
      </c>
    </row>
    <row r="5" spans="1:11" x14ac:dyDescent="0.45">
      <c r="B5" s="3">
        <v>1</v>
      </c>
      <c r="C5" s="3" t="s">
        <v>2</v>
      </c>
    </row>
    <row r="6" spans="1:11" x14ac:dyDescent="0.45">
      <c r="B6" s="3">
        <v>2</v>
      </c>
      <c r="C6" s="3" t="s">
        <v>3</v>
      </c>
    </row>
    <row r="7" spans="1:11" x14ac:dyDescent="0.45">
      <c r="B7" s="3">
        <v>3</v>
      </c>
      <c r="C7" s="3" t="s">
        <v>4</v>
      </c>
    </row>
    <row r="8" spans="1:11" x14ac:dyDescent="0.45">
      <c r="B8" s="3" t="s">
        <v>13</v>
      </c>
      <c r="C8" s="3" t="s">
        <v>13</v>
      </c>
    </row>
    <row r="9" spans="1:11" x14ac:dyDescent="0.45">
      <c r="G9" s="9" t="s">
        <v>24</v>
      </c>
      <c r="I9" s="9" t="s">
        <v>24</v>
      </c>
    </row>
    <row r="10" spans="1:11" x14ac:dyDescent="0.45">
      <c r="B10" t="s">
        <v>6</v>
      </c>
      <c r="G10" s="9" t="s">
        <v>23</v>
      </c>
      <c r="I10" s="9" t="s">
        <v>23</v>
      </c>
    </row>
    <row r="11" spans="1:11" ht="90" x14ac:dyDescent="0.45">
      <c r="B11" s="1" t="s">
        <v>0</v>
      </c>
      <c r="C11" s="1" t="s">
        <v>18</v>
      </c>
      <c r="D11" s="1" t="s">
        <v>7</v>
      </c>
      <c r="E11" s="1" t="s">
        <v>8</v>
      </c>
      <c r="F11" s="1" t="s">
        <v>9</v>
      </c>
      <c r="G11" s="7" t="s">
        <v>10</v>
      </c>
      <c r="H11" s="1" t="s">
        <v>12</v>
      </c>
      <c r="I11" s="7" t="s">
        <v>22</v>
      </c>
      <c r="J11" s="1" t="s">
        <v>11</v>
      </c>
      <c r="K11" s="5" t="s">
        <v>19</v>
      </c>
    </row>
    <row r="12" spans="1:11" x14ac:dyDescent="0.45">
      <c r="B12" s="3">
        <v>1</v>
      </c>
      <c r="C12" s="3">
        <v>1</v>
      </c>
      <c r="D12" s="3">
        <v>2020</v>
      </c>
      <c r="E12" s="3">
        <v>11</v>
      </c>
      <c r="F12" s="3">
        <v>1000</v>
      </c>
      <c r="G12" s="8">
        <v>950</v>
      </c>
      <c r="H12" s="3">
        <v>900</v>
      </c>
      <c r="I12" s="8">
        <v>0</v>
      </c>
      <c r="J12" s="3">
        <f>(0+G12+I12)-H12</f>
        <v>50</v>
      </c>
    </row>
    <row r="13" spans="1:11" x14ac:dyDescent="0.45">
      <c r="B13" s="3">
        <v>2</v>
      </c>
      <c r="C13" s="3">
        <v>1</v>
      </c>
      <c r="D13" s="3">
        <v>2020</v>
      </c>
      <c r="E13" s="3">
        <v>12</v>
      </c>
      <c r="F13" s="3">
        <v>1500</v>
      </c>
      <c r="G13" s="8">
        <v>1550</v>
      </c>
      <c r="H13" s="3">
        <v>1500</v>
      </c>
      <c r="I13" s="8">
        <v>0</v>
      </c>
      <c r="J13" s="3">
        <f>(J12+G13+I13)-H13</f>
        <v>100</v>
      </c>
    </row>
    <row r="14" spans="1:11" x14ac:dyDescent="0.45">
      <c r="B14" s="3">
        <v>3</v>
      </c>
      <c r="C14" s="3">
        <v>1</v>
      </c>
      <c r="D14" s="3">
        <v>2021</v>
      </c>
      <c r="E14" s="3">
        <v>1</v>
      </c>
      <c r="F14" s="3">
        <v>1000</v>
      </c>
      <c r="G14" s="8">
        <v>1000</v>
      </c>
      <c r="H14" s="3">
        <v>1050</v>
      </c>
      <c r="I14" s="8">
        <v>0</v>
      </c>
      <c r="J14" s="3">
        <f>(J13+G14+I14)-H14</f>
        <v>50</v>
      </c>
    </row>
    <row r="15" spans="1:11" x14ac:dyDescent="0.45">
      <c r="B15" s="3" t="s">
        <v>13</v>
      </c>
      <c r="C15" s="3" t="s">
        <v>13</v>
      </c>
      <c r="D15" s="3" t="s">
        <v>13</v>
      </c>
      <c r="E15" s="3" t="s">
        <v>13</v>
      </c>
      <c r="F15" s="3" t="s">
        <v>13</v>
      </c>
      <c r="G15" s="8" t="s">
        <v>13</v>
      </c>
      <c r="H15" s="3" t="s">
        <v>13</v>
      </c>
      <c r="I15" s="8" t="s">
        <v>13</v>
      </c>
      <c r="J15" s="3" t="s">
        <v>13</v>
      </c>
    </row>
    <row r="17" spans="2:11" x14ac:dyDescent="0.45">
      <c r="B17" t="s">
        <v>10</v>
      </c>
    </row>
    <row r="18" spans="2:11" ht="90" x14ac:dyDescent="0.45">
      <c r="B18" s="1" t="s">
        <v>0</v>
      </c>
      <c r="C18" s="1" t="s">
        <v>29</v>
      </c>
      <c r="D18" s="1" t="s">
        <v>14</v>
      </c>
      <c r="E18" s="1" t="s">
        <v>15</v>
      </c>
      <c r="F18" s="1" t="s">
        <v>9</v>
      </c>
      <c r="G18" s="1" t="s">
        <v>30</v>
      </c>
      <c r="H18" s="6" t="s">
        <v>21</v>
      </c>
      <c r="K18" s="5" t="s">
        <v>20</v>
      </c>
    </row>
    <row r="19" spans="2:11" x14ac:dyDescent="0.45">
      <c r="B19" s="3">
        <v>1</v>
      </c>
      <c r="C19" s="3">
        <v>1</v>
      </c>
      <c r="D19" s="4">
        <v>44136.424305555556</v>
      </c>
      <c r="E19" s="2">
        <v>1111</v>
      </c>
      <c r="F19" s="2">
        <v>50</v>
      </c>
      <c r="G19" s="2" t="s">
        <v>16</v>
      </c>
      <c r="H19" s="3">
        <v>1</v>
      </c>
    </row>
    <row r="20" spans="2:11" x14ac:dyDescent="0.45">
      <c r="B20" s="3">
        <v>2</v>
      </c>
      <c r="C20" s="3">
        <v>1</v>
      </c>
      <c r="D20" s="4">
        <v>44136.690972222219</v>
      </c>
      <c r="E20" s="2">
        <v>1112</v>
      </c>
      <c r="F20" s="2">
        <v>50</v>
      </c>
      <c r="G20" s="2" t="s">
        <v>17</v>
      </c>
      <c r="H20" s="3">
        <v>0</v>
      </c>
    </row>
    <row r="21" spans="2:11" x14ac:dyDescent="0.45">
      <c r="B21" s="3">
        <v>3</v>
      </c>
      <c r="C21" s="3">
        <v>1</v>
      </c>
      <c r="D21" s="4">
        <v>44137.420138888891</v>
      </c>
      <c r="E21" s="2">
        <v>1115</v>
      </c>
      <c r="F21" s="2">
        <v>50</v>
      </c>
      <c r="G21" s="2" t="s">
        <v>16</v>
      </c>
      <c r="H21" s="3">
        <v>1</v>
      </c>
    </row>
    <row r="22" spans="2:11" x14ac:dyDescent="0.45">
      <c r="B22" s="3" t="s">
        <v>13</v>
      </c>
      <c r="C22" s="3" t="s">
        <v>13</v>
      </c>
      <c r="D22" s="3" t="s">
        <v>13</v>
      </c>
      <c r="E22" s="3" t="s">
        <v>13</v>
      </c>
      <c r="F22" s="3" t="s">
        <v>13</v>
      </c>
      <c r="G22" s="3" t="s">
        <v>13</v>
      </c>
      <c r="H22" s="3"/>
    </row>
    <row r="24" spans="2:11" x14ac:dyDescent="0.45">
      <c r="B24" t="s">
        <v>22</v>
      </c>
    </row>
    <row r="25" spans="2:11" ht="126" x14ac:dyDescent="0.45">
      <c r="B25" s="1" t="s">
        <v>0</v>
      </c>
      <c r="C25" s="1" t="s">
        <v>29</v>
      </c>
      <c r="D25" s="1" t="s">
        <v>50</v>
      </c>
      <c r="E25" s="1" t="s">
        <v>32</v>
      </c>
      <c r="F25" s="1" t="s">
        <v>30</v>
      </c>
      <c r="G25" s="6" t="s">
        <v>31</v>
      </c>
      <c r="K25" s="5" t="s">
        <v>20</v>
      </c>
    </row>
    <row r="26" spans="2:11" x14ac:dyDescent="0.45">
      <c r="B26" s="3">
        <v>1</v>
      </c>
      <c r="C26" s="3">
        <v>1</v>
      </c>
      <c r="D26" s="4">
        <v>44136.424305555556</v>
      </c>
      <c r="E26" s="2">
        <v>10</v>
      </c>
      <c r="F26" s="2" t="s">
        <v>25</v>
      </c>
      <c r="G26" s="3" t="s">
        <v>28</v>
      </c>
    </row>
    <row r="27" spans="2:11" x14ac:dyDescent="0.45">
      <c r="B27" s="3">
        <v>2</v>
      </c>
      <c r="C27" s="3">
        <v>1</v>
      </c>
      <c r="D27" s="4">
        <v>44136.690972222219</v>
      </c>
      <c r="E27" s="2">
        <v>-5</v>
      </c>
      <c r="F27" s="2" t="s">
        <v>26</v>
      </c>
      <c r="G27" s="3" t="s">
        <v>28</v>
      </c>
    </row>
    <row r="28" spans="2:11" x14ac:dyDescent="0.45">
      <c r="B28" s="3">
        <v>3</v>
      </c>
      <c r="C28" s="3">
        <v>1</v>
      </c>
      <c r="D28" s="4">
        <v>44137.420138888891</v>
      </c>
      <c r="E28" s="2">
        <v>-5</v>
      </c>
      <c r="F28" s="2" t="s">
        <v>27</v>
      </c>
      <c r="G28" s="3" t="s">
        <v>28</v>
      </c>
    </row>
    <row r="29" spans="2:11" x14ac:dyDescent="0.45">
      <c r="B29" s="3" t="s">
        <v>13</v>
      </c>
      <c r="C29" s="3" t="s">
        <v>13</v>
      </c>
      <c r="D29" s="3" t="s">
        <v>13</v>
      </c>
      <c r="E29" s="3" t="s">
        <v>13</v>
      </c>
      <c r="F29" s="3" t="s">
        <v>13</v>
      </c>
      <c r="G29" s="3"/>
    </row>
    <row r="31" spans="2:11" x14ac:dyDescent="0.45">
      <c r="B31" t="s">
        <v>33</v>
      </c>
    </row>
    <row r="32" spans="2:11" ht="90" x14ac:dyDescent="0.45">
      <c r="B32" s="1" t="s">
        <v>0</v>
      </c>
      <c r="C32" s="1" t="s">
        <v>34</v>
      </c>
      <c r="D32" s="1" t="s">
        <v>35</v>
      </c>
      <c r="E32" s="1" t="s">
        <v>36</v>
      </c>
    </row>
    <row r="33" spans="1:11" x14ac:dyDescent="0.45">
      <c r="B33" s="3">
        <v>1</v>
      </c>
      <c r="C33" s="2" t="s">
        <v>25</v>
      </c>
      <c r="D33" s="2" t="s">
        <v>40</v>
      </c>
      <c r="E33" s="2" t="s">
        <v>37</v>
      </c>
    </row>
    <row r="34" spans="1:11" x14ac:dyDescent="0.45">
      <c r="B34" s="3">
        <v>2</v>
      </c>
      <c r="C34" s="2" t="s">
        <v>26</v>
      </c>
      <c r="D34" s="2" t="s">
        <v>41</v>
      </c>
      <c r="E34" s="2" t="s">
        <v>38</v>
      </c>
    </row>
    <row r="35" spans="1:11" x14ac:dyDescent="0.45">
      <c r="B35" s="3">
        <v>3</v>
      </c>
      <c r="C35" s="2" t="s">
        <v>27</v>
      </c>
      <c r="D35" s="2" t="s">
        <v>42</v>
      </c>
      <c r="E35" s="2" t="s">
        <v>39</v>
      </c>
    </row>
    <row r="36" spans="1:11" x14ac:dyDescent="0.45">
      <c r="B36" s="3" t="s">
        <v>13</v>
      </c>
      <c r="C36" s="3" t="s">
        <v>13</v>
      </c>
      <c r="D36" s="3" t="s">
        <v>13</v>
      </c>
      <c r="E36" s="3" t="s">
        <v>13</v>
      </c>
    </row>
    <row r="37" spans="1:11" ht="18.600000000000001" thickBot="1" x14ac:dyDescent="0.5"/>
    <row r="38" spans="1:11" ht="18.600000000000001" thickBot="1" x14ac:dyDescent="0.5">
      <c r="A38" s="10" t="s">
        <v>44</v>
      </c>
    </row>
    <row r="39" spans="1:11" x14ac:dyDescent="0.45">
      <c r="B39" t="s">
        <v>49</v>
      </c>
    </row>
    <row r="40" spans="1:11" ht="90" x14ac:dyDescent="0.45">
      <c r="B40" s="1" t="s">
        <v>0</v>
      </c>
      <c r="C40" s="1" t="s">
        <v>58</v>
      </c>
      <c r="D40" s="1" t="s">
        <v>51</v>
      </c>
      <c r="E40" s="1" t="s">
        <v>52</v>
      </c>
      <c r="F40" s="1" t="s">
        <v>53</v>
      </c>
      <c r="G40" s="1" t="s">
        <v>54</v>
      </c>
      <c r="H40" s="1" t="s">
        <v>55</v>
      </c>
      <c r="I40" s="1" t="s">
        <v>57</v>
      </c>
      <c r="J40" s="1" t="s">
        <v>56</v>
      </c>
      <c r="K40" s="1" t="s">
        <v>50</v>
      </c>
    </row>
    <row r="41" spans="1:11" x14ac:dyDescent="0.45">
      <c r="B41" s="3">
        <v>1</v>
      </c>
      <c r="C41" s="2">
        <v>1</v>
      </c>
      <c r="D41" s="2"/>
      <c r="E41" s="2" t="s">
        <v>45</v>
      </c>
      <c r="F41" s="2"/>
      <c r="G41" s="2" t="s">
        <v>38</v>
      </c>
      <c r="H41" s="2" t="s">
        <v>46</v>
      </c>
      <c r="I41" s="2">
        <v>1</v>
      </c>
      <c r="J41" s="2" t="s">
        <v>25</v>
      </c>
      <c r="K41" s="4">
        <v>44136.424305555556</v>
      </c>
    </row>
    <row r="42" spans="1:11" x14ac:dyDescent="0.45">
      <c r="B42" s="3">
        <v>2</v>
      </c>
      <c r="C42" s="2">
        <v>1</v>
      </c>
      <c r="D42" s="2"/>
      <c r="E42" s="2"/>
      <c r="F42" s="2" t="s">
        <v>38</v>
      </c>
      <c r="G42" s="2" t="s">
        <v>39</v>
      </c>
      <c r="H42" s="2" t="s">
        <v>47</v>
      </c>
      <c r="I42" s="2">
        <v>1</v>
      </c>
      <c r="J42" s="2" t="s">
        <v>25</v>
      </c>
      <c r="K42" s="4">
        <v>44136.690972222219</v>
      </c>
    </row>
    <row r="43" spans="1:11" x14ac:dyDescent="0.45">
      <c r="B43" s="3">
        <v>3</v>
      </c>
      <c r="C43" s="2">
        <v>1</v>
      </c>
      <c r="D43" s="2"/>
      <c r="E43" s="2"/>
      <c r="F43" s="2"/>
      <c r="G43" s="2"/>
      <c r="H43" s="2" t="s">
        <v>48</v>
      </c>
      <c r="I43" s="2">
        <v>2</v>
      </c>
      <c r="J43" s="2" t="s">
        <v>26</v>
      </c>
      <c r="K43" s="4">
        <v>44137.420138888891</v>
      </c>
    </row>
    <row r="44" spans="1:11" x14ac:dyDescent="0.45">
      <c r="B44" s="3" t="s">
        <v>13</v>
      </c>
      <c r="C44" s="3" t="s">
        <v>13</v>
      </c>
      <c r="D44" s="3" t="s">
        <v>13</v>
      </c>
      <c r="E44" s="3" t="s">
        <v>13</v>
      </c>
      <c r="F44" s="3" t="s">
        <v>13</v>
      </c>
      <c r="G44" s="3" t="s">
        <v>13</v>
      </c>
      <c r="H44" s="3" t="s">
        <v>13</v>
      </c>
      <c r="I44" s="3" t="s">
        <v>13</v>
      </c>
      <c r="J44" s="3" t="s">
        <v>13</v>
      </c>
      <c r="K44" s="3" t="s">
        <v>13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大洋 竹端</dc:creator>
  <cp:lastModifiedBy>大洋 竹端</cp:lastModifiedBy>
  <dcterms:created xsi:type="dcterms:W3CDTF">2026-05-12T05:42:56Z</dcterms:created>
  <dcterms:modified xsi:type="dcterms:W3CDTF">2026-05-21T23:28:18Z</dcterms:modified>
</cp:coreProperties>
</file>